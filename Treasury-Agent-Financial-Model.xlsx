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12-Month Projections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Roadmap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\$#,##0"/>
    <numFmt numFmtId="166" formatCode="0.0\x"/>
    <numFmt numFmtId="167" formatCode="0.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A896"/>
      <sz val="12"/>
    </font>
    <font>
      <name val="Arial"/>
      <b val="1"/>
      <sz val="11"/>
    </font>
    <font>
      <name val="Arial"/>
      <b val="1"/>
      <color rgb="001E276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CCFFFF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1" fontId="10" fillId="3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5" fontId="10" fillId="3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1" fontId="10" fillId="3" borderId="1" applyAlignment="1" pivotButton="0" quotePrefix="0" xfId="0">
      <alignment horizontal="general" vertical="bottom"/>
    </xf>
    <xf numFmtId="1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5" fontId="10" fillId="3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6" fontId="10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0" fontId="11" fillId="0" borderId="0" pivotButton="0" quotePrefix="0" xfId="0"/>
    <xf numFmtId="0" fontId="12" fillId="4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5" customWidth="1" style="21" min="1" max="1"/>
    <col width="18" customWidth="1" style="21" min="2" max="2"/>
    <col width="40" customWidth="1" style="21" min="3" max="3"/>
  </cols>
  <sheetData>
    <row r="1" ht="17.35" customHeight="1" s="22">
      <c r="A1" s="23" t="inlineStr">
        <is>
          <t>TREASURY AGENT - FINANCIAL MODEL</t>
        </is>
      </c>
    </row>
    <row r="3" ht="15" customHeight="1" s="22">
      <c r="A3" s="24" t="inlineStr">
        <is>
          <t>CUSTOMER ACQUISITION</t>
        </is>
      </c>
    </row>
    <row r="4" ht="15" customHeight="1" s="22">
      <c r="A4" s="21" t="inlineStr">
        <is>
          <t>Month 1 New Customers</t>
        </is>
      </c>
      <c r="B4" s="25" t="n">
        <v>3</v>
      </c>
      <c r="C4" s="21" t="inlineStr">
        <is>
          <t>Pilot phase, accelerator intros</t>
        </is>
      </c>
    </row>
    <row r="5" ht="15" customHeight="1" s="22">
      <c r="A5" s="21" t="inlineStr">
        <is>
          <t>Monthly Customer Growth M1-M3</t>
        </is>
      </c>
      <c r="B5" s="26" t="n">
        <v>0.15</v>
      </c>
      <c r="C5" s="21" t="inlineStr">
        <is>
          <t>15% MoM growth in early phase</t>
        </is>
      </c>
    </row>
    <row r="6" ht="15" customHeight="1" s="22">
      <c r="A6" s="21" t="inlineStr">
        <is>
          <t>Monthly Customer Growth M4-M12</t>
        </is>
      </c>
      <c r="B6" s="26" t="n">
        <v>0.1</v>
      </c>
      <c r="C6" s="21" t="inlineStr">
        <is>
          <t>10% MoM growth as market matures</t>
        </is>
      </c>
    </row>
    <row r="8" ht="15" customHeight="1" s="22">
      <c r="A8" s="24" t="inlineStr">
        <is>
          <t>REVENUE MODEL</t>
        </is>
      </c>
    </row>
    <row r="9" ht="15" customHeight="1" s="22">
      <c r="A9" s="21" t="inlineStr">
        <is>
          <t>Avg Monthly SaaS (per customer)</t>
        </is>
      </c>
      <c r="B9" s="27" t="n">
        <v>1000</v>
      </c>
      <c r="C9" s="21" t="inlineStr">
        <is>
          <t>Starter $500 + Pro $1.5k average</t>
        </is>
      </c>
    </row>
    <row r="10" ht="15" customHeight="1" s="22">
      <c r="A10" s="21" t="inlineStr">
        <is>
          <t>Avg Settlement Volume (per customer)</t>
        </is>
      </c>
      <c r="B10" s="27" t="n">
        <v>25000000</v>
      </c>
      <c r="C10" s="21" t="inlineStr">
        <is>
          <t>$25M annual = $2.1M monthly avg</t>
        </is>
      </c>
    </row>
    <row r="11" ht="15" customHeight="1" s="22">
      <c r="A11" s="21" t="inlineStr">
        <is>
          <t>Settlement Spread (basis points)</t>
        </is>
      </c>
      <c r="B11" s="28" t="n">
        <v>0.0075</v>
      </c>
      <c r="C11" s="21" t="inlineStr">
        <is>
          <t>7.5 bps on stablecoin routing</t>
        </is>
      </c>
    </row>
    <row r="12" ht="15" customHeight="1" s="22">
      <c r="A12" s="21" t="inlineStr">
        <is>
          <t>AI Agent Premium (per customer/month)</t>
        </is>
      </c>
      <c r="B12" s="27" t="n">
        <v>75</v>
      </c>
      <c r="C12" s="21" t="inlineStr">
        <is>
          <t>Optional advanced treasury features</t>
        </is>
      </c>
    </row>
    <row r="13" ht="15" customHeight="1" s="22">
      <c r="A13" s="21" t="inlineStr">
        <is>
          <t>AI Premium Adoption Rate</t>
        </is>
      </c>
      <c r="B13" s="26" t="n">
        <v>0.25</v>
      </c>
      <c r="C13" s="21" t="inlineStr">
        <is>
          <t>25% of customers opt for premium</t>
        </is>
      </c>
    </row>
    <row r="15" ht="15" customHeight="1" s="22">
      <c r="A15" s="24" t="inlineStr">
        <is>
          <t>OPERATING COSTS</t>
        </is>
      </c>
    </row>
    <row r="16" ht="15" customHeight="1" s="22">
      <c r="A16" s="21" t="inlineStr">
        <is>
          <t>Month 1 Headcount</t>
        </is>
      </c>
      <c r="B16" s="25" t="n">
        <v>5</v>
      </c>
      <c r="C16" s="21" t="inlineStr">
        <is>
          <t>2 eng, 1 AI/ML, 1 BD, 1 ops</t>
        </is>
      </c>
    </row>
    <row r="17" ht="15" customHeight="1" s="22">
      <c r="A17" s="21" t="inlineStr">
        <is>
          <t>Avg Salary (per employee/month)</t>
        </is>
      </c>
      <c r="B17" s="27" t="n">
        <v>10000</v>
      </c>
      <c r="C17" s="21" t="inlineStr">
        <is>
          <t>Blended average including taxes/benefits</t>
        </is>
      </c>
    </row>
    <row r="18" ht="15" customHeight="1" s="22">
      <c r="A18" s="21" t="inlineStr">
        <is>
          <t>Monthly Headcount Growth</t>
        </is>
      </c>
      <c r="B18" s="26" t="n">
        <v>0.08</v>
      </c>
      <c r="C18" s="21" t="inlineStr">
        <is>
          <t>Add staff as revenue scales</t>
        </is>
      </c>
    </row>
    <row r="19" ht="15" customHeight="1" s="22">
      <c r="A19" s="21" t="inlineStr">
        <is>
          <t>Infrastructure (per month)</t>
        </is>
      </c>
      <c r="B19" s="27" t="n">
        <v>2000</v>
      </c>
      <c r="C19" s="21" t="inlineStr">
        <is>
          <t>Solana RPC nodes, API infrastructure</t>
        </is>
      </c>
    </row>
    <row r="20" ht="15" customHeight="1" s="22">
      <c r="A20" s="21" t="inlineStr">
        <is>
          <t>Marketing/Sales (% of revenue)</t>
        </is>
      </c>
      <c r="B20" s="26" t="n">
        <v>0.2</v>
      </c>
      <c r="C20" s="21" t="inlineStr">
        <is>
          <t>Warm intros reduce CAC</t>
        </is>
      </c>
    </row>
    <row r="21" ht="15" customHeight="1" s="22">
      <c r="A21" s="21" t="inlineStr">
        <is>
          <t>Other OpEx (% of revenue)</t>
        </is>
      </c>
      <c r="B21" s="26" t="n">
        <v>0.15</v>
      </c>
      <c r="C21" s="21" t="inlineStr">
        <is>
          <t>Legal, compliance, admin, overhead</t>
        </is>
      </c>
    </row>
    <row r="23" ht="15" customHeight="1" s="22">
      <c r="A23" s="24" t="inlineStr">
        <is>
          <t>RETENTION</t>
        </is>
      </c>
    </row>
    <row r="24" ht="15" customHeight="1" s="22">
      <c r="A24" s="21" t="inlineStr">
        <is>
          <t>Monthly Churn Rate</t>
        </is>
      </c>
      <c r="B24" s="26" t="n">
        <v>0.05</v>
      </c>
      <c r="C24" s="21" t="inlineStr">
        <is>
          <t>5% MoM, 95% retention rate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21" min="1" max="1"/>
    <col width="13" customWidth="1" style="21" min="2" max="13"/>
  </cols>
  <sheetData>
    <row r="1" ht="15" customHeight="1" s="22">
      <c r="A1" s="29" t="inlineStr">
        <is>
          <t>TREASURY AGENT - 12 MONTH PROJECTIONS</t>
        </is>
      </c>
    </row>
    <row r="2" ht="15" customHeight="1" s="22">
      <c r="A2" s="30" t="n"/>
      <c r="B2" s="30" t="n"/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</row>
    <row r="3" ht="15" customHeight="1" s="22">
      <c r="A3" s="31" t="inlineStr">
        <is>
          <t>Month</t>
        </is>
      </c>
      <c r="B3" s="32" t="inlineStr">
        <is>
          <t>M1</t>
        </is>
      </c>
      <c r="C3" s="32" t="inlineStr">
        <is>
          <t>M2</t>
        </is>
      </c>
      <c r="D3" s="32" t="inlineStr">
        <is>
          <t>M3</t>
        </is>
      </c>
      <c r="E3" s="32" t="inlineStr">
        <is>
          <t>M4</t>
        </is>
      </c>
      <c r="F3" s="32" t="inlineStr">
        <is>
          <t>M5</t>
        </is>
      </c>
      <c r="G3" s="32" t="inlineStr">
        <is>
          <t>M6</t>
        </is>
      </c>
      <c r="H3" s="32" t="inlineStr">
        <is>
          <t>M7</t>
        </is>
      </c>
      <c r="I3" s="32" t="inlineStr">
        <is>
          <t>M8</t>
        </is>
      </c>
      <c r="J3" s="32" t="inlineStr">
        <is>
          <t>M9</t>
        </is>
      </c>
      <c r="K3" s="32" t="inlineStr">
        <is>
          <t>M10</t>
        </is>
      </c>
      <c r="L3" s="32" t="inlineStr">
        <is>
          <t>M11</t>
        </is>
      </c>
      <c r="M3" s="32" t="inlineStr">
        <is>
          <t>M12</t>
        </is>
      </c>
    </row>
    <row r="4" ht="15" customHeight="1" s="22">
      <c r="A4" s="33" t="inlineStr">
        <is>
          <t>CUSTOMERS</t>
        </is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</row>
    <row r="5" ht="15" customHeight="1" s="22">
      <c r="A5" s="30" t="inlineStr">
        <is>
          <t>Ending Customers</t>
        </is>
      </c>
      <c r="B5" s="34" t="n">
        <v>3</v>
      </c>
      <c r="C5" s="35" t="n">
        <v>4</v>
      </c>
      <c r="D5" s="35" t="n">
        <v>5</v>
      </c>
      <c r="E5" s="35" t="n">
        <v>6</v>
      </c>
      <c r="F5" s="35" t="n">
        <v>7</v>
      </c>
      <c r="G5" s="35" t="n">
        <v>8</v>
      </c>
      <c r="H5" s="35" t="n">
        <v>9</v>
      </c>
      <c r="I5" s="35" t="n">
        <v>10</v>
      </c>
      <c r="J5" s="35" t="n">
        <v>11</v>
      </c>
      <c r="K5" s="35" t="n">
        <v>12</v>
      </c>
      <c r="L5" s="35" t="n">
        <v>13</v>
      </c>
      <c r="M5" s="35" t="n">
        <v>14</v>
      </c>
    </row>
    <row r="6" ht="15" customHeight="1" s="22">
      <c r="A6" s="30" t="n"/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</row>
    <row r="7" ht="15" customHeight="1" s="22">
      <c r="A7" s="33" t="inlineStr">
        <is>
          <t>REVENUE</t>
        </is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</row>
    <row r="8" ht="15" customHeight="1" s="22">
      <c r="A8" s="30" t="inlineStr">
        <is>
          <t>SaaS Subscription Revenue</t>
        </is>
      </c>
      <c r="B8" s="36">
        <f>B5*Assumptions!B8</f>
        <v/>
      </c>
      <c r="C8" s="36">
        <f>C5*Assumptions!B8</f>
        <v/>
      </c>
      <c r="D8" s="36">
        <f>D5*Assumptions!B8</f>
        <v/>
      </c>
      <c r="E8" s="36">
        <f>E5*Assumptions!B8</f>
        <v/>
      </c>
      <c r="F8" s="36">
        <f>F5*Assumptions!B8</f>
        <v/>
      </c>
      <c r="G8" s="36">
        <f>G5*Assumptions!B8</f>
        <v/>
      </c>
      <c r="H8" s="36">
        <f>H5*Assumptions!B8</f>
        <v/>
      </c>
      <c r="I8" s="36">
        <f>I5*Assumptions!B8</f>
        <v/>
      </c>
      <c r="J8" s="36">
        <f>J5*Assumptions!B8</f>
        <v/>
      </c>
      <c r="K8" s="36">
        <f>K5*Assumptions!B8</f>
        <v/>
      </c>
      <c r="L8" s="36">
        <f>L5*Assumptions!B8</f>
        <v/>
      </c>
      <c r="M8" s="36">
        <f>M5*Assumptions!B8</f>
        <v/>
      </c>
    </row>
    <row r="9" ht="15" customHeight="1" s="22">
      <c r="A9" s="30" t="inlineStr">
        <is>
          <t>Settlement Spread Revenue</t>
        </is>
      </c>
      <c r="B9" s="36">
        <f>B5*Assumptions!B10*Assumptions!B11</f>
        <v/>
      </c>
      <c r="C9" s="36">
        <f>C5*Assumptions!B10*Assumptions!B11</f>
        <v/>
      </c>
      <c r="D9" s="36">
        <f>D5*Assumptions!B10*Assumptions!B11</f>
        <v/>
      </c>
      <c r="E9" s="36">
        <f>E5*Assumptions!B10*Assumptions!B11</f>
        <v/>
      </c>
      <c r="F9" s="36">
        <f>F5*Assumptions!B10*Assumptions!B11</f>
        <v/>
      </c>
      <c r="G9" s="36">
        <f>G5*Assumptions!B10*Assumptions!B11</f>
        <v/>
      </c>
      <c r="H9" s="36">
        <f>H5*Assumptions!B10*Assumptions!B11</f>
        <v/>
      </c>
      <c r="I9" s="36">
        <f>I5*Assumptions!B10*Assumptions!B11</f>
        <v/>
      </c>
      <c r="J9" s="36">
        <f>J5*Assumptions!B10*Assumptions!B11</f>
        <v/>
      </c>
      <c r="K9" s="36">
        <f>K5*Assumptions!B10*Assumptions!B11</f>
        <v/>
      </c>
      <c r="L9" s="36">
        <f>L5*Assumptions!B10*Assumptions!B11</f>
        <v/>
      </c>
      <c r="M9" s="36">
        <f>M5*Assumptions!B10*Assumptions!B11</f>
        <v/>
      </c>
    </row>
    <row r="10" ht="15" customHeight="1" s="22">
      <c r="A10" s="30" t="inlineStr">
        <is>
          <t>AI Agent Premium Revenue</t>
        </is>
      </c>
      <c r="B10" s="36">
        <f>B5*Assumptions!B13*Assumptions!B14</f>
        <v/>
      </c>
      <c r="C10" s="36">
        <f>C5*Assumptions!B13*Assumptions!B14</f>
        <v/>
      </c>
      <c r="D10" s="36">
        <f>D5*Assumptions!B13*Assumptions!B14</f>
        <v/>
      </c>
      <c r="E10" s="36">
        <f>E5*Assumptions!B13*Assumptions!B14</f>
        <v/>
      </c>
      <c r="F10" s="36">
        <f>F5*Assumptions!B13*Assumptions!B14</f>
        <v/>
      </c>
      <c r="G10" s="36">
        <f>G5*Assumptions!B13*Assumptions!B14</f>
        <v/>
      </c>
      <c r="H10" s="36">
        <f>H5*Assumptions!B13*Assumptions!B14</f>
        <v/>
      </c>
      <c r="I10" s="36">
        <f>I5*Assumptions!B13*Assumptions!B14</f>
        <v/>
      </c>
      <c r="J10" s="36">
        <f>J5*Assumptions!B13*Assumptions!B14</f>
        <v/>
      </c>
      <c r="K10" s="36">
        <f>K5*Assumptions!B13*Assumptions!B14</f>
        <v/>
      </c>
      <c r="L10" s="36">
        <f>L5*Assumptions!B13*Assumptions!B14</f>
        <v/>
      </c>
      <c r="M10" s="36">
        <f>M5*Assumptions!B13*Assumptions!B14</f>
        <v/>
      </c>
    </row>
    <row r="11" ht="15" customHeight="1" s="22">
      <c r="A11" s="30" t="inlineStr">
        <is>
          <t>Total Monthly Revenue</t>
        </is>
      </c>
      <c r="B11" s="37">
        <f>B8+B9+B10</f>
        <v/>
      </c>
      <c r="C11" s="37">
        <f>C8+C9+C10</f>
        <v/>
      </c>
      <c r="D11" s="37">
        <f>D8+D9+D10</f>
        <v/>
      </c>
      <c r="E11" s="37">
        <f>E8+E9+E10</f>
        <v/>
      </c>
      <c r="F11" s="37">
        <f>F8+F9+F10</f>
        <v/>
      </c>
      <c r="G11" s="37">
        <f>G8+G9+G10</f>
        <v/>
      </c>
      <c r="H11" s="37">
        <f>H8+H9+H10</f>
        <v/>
      </c>
      <c r="I11" s="37">
        <f>I8+I9+I10</f>
        <v/>
      </c>
      <c r="J11" s="37">
        <f>J8+J9+J10</f>
        <v/>
      </c>
      <c r="K11" s="37">
        <f>K8+K9+K10</f>
        <v/>
      </c>
      <c r="L11" s="37">
        <f>L8+L9+L10</f>
        <v/>
      </c>
      <c r="M11" s="37">
        <f>M8+M9+M10</f>
        <v/>
      </c>
    </row>
    <row r="12" ht="15" customHeight="1" s="22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</row>
    <row r="13" ht="15" customHeight="1" s="22">
      <c r="A13" s="33" t="inlineStr">
        <is>
          <t>OPERATING COSTS</t>
        </is>
      </c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</row>
    <row r="14" ht="15" customHeight="1" s="22">
      <c r="A14" s="30" t="inlineStr">
        <is>
          <t>Salary Expense</t>
        </is>
      </c>
      <c r="B14" s="36">
        <f>Assumptions!B15*Assumptions!B16</f>
        <v/>
      </c>
      <c r="C14" s="36">
        <f>B14*(1+Assumptions!B17)</f>
        <v/>
      </c>
      <c r="D14" s="36">
        <f>C14*(1+Assumptions!B17)</f>
        <v/>
      </c>
      <c r="E14" s="36">
        <f>D14*(1+Assumptions!B17)</f>
        <v/>
      </c>
      <c r="F14" s="36">
        <f>E14*(1+Assumptions!B17)</f>
        <v/>
      </c>
      <c r="G14" s="36">
        <f>F14*(1+Assumptions!B17)</f>
        <v/>
      </c>
      <c r="H14" s="36">
        <f>G14*(1+Assumptions!B17)</f>
        <v/>
      </c>
      <c r="I14" s="36">
        <f>H14*(1+Assumptions!B17)</f>
        <v/>
      </c>
      <c r="J14" s="36">
        <f>I14*(1+Assumptions!B17)</f>
        <v/>
      </c>
      <c r="K14" s="36">
        <f>J14*(1+Assumptions!B17)</f>
        <v/>
      </c>
      <c r="L14" s="36">
        <f>K14*(1+Assumptions!B17)</f>
        <v/>
      </c>
      <c r="M14" s="36">
        <f>L14*(1+Assumptions!B17)</f>
        <v/>
      </c>
    </row>
    <row r="15" ht="15" customHeight="1" s="22">
      <c r="A15" s="30" t="inlineStr">
        <is>
          <t>Infrastructure Costs</t>
        </is>
      </c>
      <c r="B15" s="36">
        <f>Assumptions!B19</f>
        <v/>
      </c>
      <c r="C15" s="36">
        <f>Assumptions!B19</f>
        <v/>
      </c>
      <c r="D15" s="36">
        <f>Assumptions!B19</f>
        <v/>
      </c>
      <c r="E15" s="36">
        <f>Assumptions!B19</f>
        <v/>
      </c>
      <c r="F15" s="36">
        <f>Assumptions!B19</f>
        <v/>
      </c>
      <c r="G15" s="36">
        <f>Assumptions!B19</f>
        <v/>
      </c>
      <c r="H15" s="36">
        <f>Assumptions!B19</f>
        <v/>
      </c>
      <c r="I15" s="36">
        <f>Assumptions!B19</f>
        <v/>
      </c>
      <c r="J15" s="36">
        <f>Assumptions!B19</f>
        <v/>
      </c>
      <c r="K15" s="36">
        <f>Assumptions!B19</f>
        <v/>
      </c>
      <c r="L15" s="36">
        <f>Assumptions!B19</f>
        <v/>
      </c>
      <c r="M15" s="36">
        <f>Assumptions!B19</f>
        <v/>
      </c>
    </row>
    <row r="16" ht="15" customHeight="1" s="22">
      <c r="A16" s="30" t="inlineStr">
        <is>
          <t>Marketing &amp; Sales</t>
        </is>
      </c>
      <c r="B16" s="36">
        <f>B8*Assumptions!B20</f>
        <v/>
      </c>
      <c r="C16" s="36">
        <f>C8*Assumptions!B20</f>
        <v/>
      </c>
      <c r="D16" s="36">
        <f>D8*Assumptions!B20</f>
        <v/>
      </c>
      <c r="E16" s="36">
        <f>E8*Assumptions!B20</f>
        <v/>
      </c>
      <c r="F16" s="36">
        <f>F8*Assumptions!B20</f>
        <v/>
      </c>
      <c r="G16" s="36">
        <f>G8*Assumptions!B20</f>
        <v/>
      </c>
      <c r="H16" s="36">
        <f>H8*Assumptions!B20</f>
        <v/>
      </c>
      <c r="I16" s="36">
        <f>I8*Assumptions!B20</f>
        <v/>
      </c>
      <c r="J16" s="36">
        <f>J8*Assumptions!B20</f>
        <v/>
      </c>
      <c r="K16" s="36">
        <f>K8*Assumptions!B20</f>
        <v/>
      </c>
      <c r="L16" s="36">
        <f>L8*Assumptions!B20</f>
        <v/>
      </c>
      <c r="M16" s="36">
        <f>M8*Assumptions!B20</f>
        <v/>
      </c>
    </row>
    <row r="17" ht="15" customHeight="1" s="22">
      <c r="A17" s="30" t="inlineStr">
        <is>
          <t>Other Operating Expenses</t>
        </is>
      </c>
      <c r="B17" s="36">
        <f>B8*Assumptions!B21</f>
        <v/>
      </c>
      <c r="C17" s="36">
        <f>C8*Assumptions!B21</f>
        <v/>
      </c>
      <c r="D17" s="36">
        <f>D8*Assumptions!B21</f>
        <v/>
      </c>
      <c r="E17" s="36">
        <f>E8*Assumptions!B21</f>
        <v/>
      </c>
      <c r="F17" s="36">
        <f>F8*Assumptions!B21</f>
        <v/>
      </c>
      <c r="G17" s="36">
        <f>G8*Assumptions!B21</f>
        <v/>
      </c>
      <c r="H17" s="36">
        <f>H8*Assumptions!B21</f>
        <v/>
      </c>
      <c r="I17" s="36">
        <f>I8*Assumptions!B21</f>
        <v/>
      </c>
      <c r="J17" s="36">
        <f>J8*Assumptions!B21</f>
        <v/>
      </c>
      <c r="K17" s="36">
        <f>K8*Assumptions!B21</f>
        <v/>
      </c>
      <c r="L17" s="36">
        <f>L8*Assumptions!B21</f>
        <v/>
      </c>
      <c r="M17" s="36">
        <f>M8*Assumptions!B21</f>
        <v/>
      </c>
    </row>
    <row r="18" ht="15" customHeight="1" s="22">
      <c r="A18" s="30" t="inlineStr">
        <is>
          <t>Total Operating Costs</t>
        </is>
      </c>
      <c r="B18" s="37">
        <f>B14+B15+B16+B17</f>
        <v/>
      </c>
      <c r="C18" s="37">
        <f>C14+C15+C16+C17</f>
        <v/>
      </c>
      <c r="D18" s="37">
        <f>D14+D15+D16+D17</f>
        <v/>
      </c>
      <c r="E18" s="37">
        <f>E14+E15+E16+E17</f>
        <v/>
      </c>
      <c r="F18" s="37">
        <f>F14+F15+F16+F17</f>
        <v/>
      </c>
      <c r="G18" s="37">
        <f>G14+G15+G16+G17</f>
        <v/>
      </c>
      <c r="H18" s="37">
        <f>H14+H15+H16+H17</f>
        <v/>
      </c>
      <c r="I18" s="37">
        <f>I14+I15+I16+I17</f>
        <v/>
      </c>
      <c r="J18" s="37">
        <f>J14+J15+J16+J17</f>
        <v/>
      </c>
      <c r="K18" s="37">
        <f>K14+K15+K16+K17</f>
        <v/>
      </c>
      <c r="L18" s="37">
        <f>L14+L15+L16+L17</f>
        <v/>
      </c>
      <c r="M18" s="37">
        <f>M14+M15+M16+M17</f>
        <v/>
      </c>
    </row>
    <row r="19" ht="15" customHeight="1" s="22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</row>
    <row r="20" ht="15" customHeight="1" s="22">
      <c r="A20" s="33" t="inlineStr">
        <is>
          <t>PROFITABILITY</t>
        </is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</row>
    <row r="21" ht="15" customHeight="1" s="22">
      <c r="A21" s="30" t="inlineStr">
        <is>
          <t>Gross Profit</t>
        </is>
      </c>
      <c r="B21" s="36">
        <f>B9-B18</f>
        <v/>
      </c>
      <c r="C21" s="36">
        <f>C9-C18</f>
        <v/>
      </c>
      <c r="D21" s="36">
        <f>D9-D18</f>
        <v/>
      </c>
      <c r="E21" s="36">
        <f>E9-E18</f>
        <v/>
      </c>
      <c r="F21" s="36">
        <f>F9-F18</f>
        <v/>
      </c>
      <c r="G21" s="36">
        <f>G9-G18</f>
        <v/>
      </c>
      <c r="H21" s="36">
        <f>H9-H18</f>
        <v/>
      </c>
      <c r="I21" s="36">
        <f>I9-I18</f>
        <v/>
      </c>
      <c r="J21" s="36">
        <f>J9-J18</f>
        <v/>
      </c>
      <c r="K21" s="36">
        <f>K9-K18</f>
        <v/>
      </c>
      <c r="L21" s="36">
        <f>L9-L18</f>
        <v/>
      </c>
      <c r="M21" s="36">
        <f>M9-M18</f>
        <v/>
      </c>
    </row>
    <row r="22" ht="15" customHeight="1" s="22">
      <c r="A22" s="30" t="inlineStr">
        <is>
          <t>Gross Margin %</t>
        </is>
      </c>
      <c r="B22" s="38">
        <f>IFERROR(B21/B9,0)</f>
        <v/>
      </c>
      <c r="C22" s="38">
        <f>IFERROR(C21/C9,0)</f>
        <v/>
      </c>
      <c r="D22" s="38">
        <f>IFERROR(D21/D9,0)</f>
        <v/>
      </c>
      <c r="E22" s="38">
        <f>IFERROR(E21/E9,0)</f>
        <v/>
      </c>
      <c r="F22" s="38">
        <f>IFERROR(F21/F9,0)</f>
        <v/>
      </c>
      <c r="G22" s="38">
        <f>IFERROR(G21/G9,0)</f>
        <v/>
      </c>
      <c r="H22" s="38">
        <f>IFERROR(H21/H9,0)</f>
        <v/>
      </c>
      <c r="I22" s="38">
        <f>IFERROR(I21/I9,0)</f>
        <v/>
      </c>
      <c r="J22" s="38">
        <f>IFERROR(J21/J9,0)</f>
        <v/>
      </c>
      <c r="K22" s="38">
        <f>IFERROR(K21/K9,0)</f>
        <v/>
      </c>
      <c r="L22" s="38">
        <f>IFERROR(L21/L9,0)</f>
        <v/>
      </c>
      <c r="M22" s="38">
        <f>IFERROR(M21/M9,0)</f>
        <v/>
      </c>
    </row>
    <row r="23" ht="15" customHeight="1" s="22">
      <c r="A23" s="30" t="inlineStr">
        <is>
          <t>Operating Profit</t>
        </is>
      </c>
      <c r="B23" s="37">
        <f>B21</f>
        <v/>
      </c>
      <c r="C23" s="37">
        <f>C21</f>
        <v/>
      </c>
      <c r="D23" s="37">
        <f>D21</f>
        <v/>
      </c>
      <c r="E23" s="37">
        <f>E21</f>
        <v/>
      </c>
      <c r="F23" s="37">
        <f>F21</f>
        <v/>
      </c>
      <c r="G23" s="37">
        <f>G21</f>
        <v/>
      </c>
      <c r="H23" s="37">
        <f>H21</f>
        <v/>
      </c>
      <c r="I23" s="37">
        <f>I21</f>
        <v/>
      </c>
      <c r="J23" s="37">
        <f>J21</f>
        <v/>
      </c>
      <c r="K23" s="37">
        <f>K21</f>
        <v/>
      </c>
      <c r="L23" s="37">
        <f>L21</f>
        <v/>
      </c>
      <c r="M23" s="37">
        <f>M21</f>
        <v/>
      </c>
    </row>
  </sheetData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5" customWidth="1" style="21" min="1" max="1"/>
    <col width="18" customWidth="1" style="21" min="2" max="2"/>
    <col width="40" customWidth="1" style="21" min="3" max="3"/>
  </cols>
  <sheetData>
    <row r="1" ht="15" customHeight="1" s="22">
      <c r="A1" s="39" t="inlineStr">
        <is>
          <t>UNIT ECONOMICS</t>
        </is>
      </c>
      <c r="B1" s="30" t="n"/>
      <c r="C1" s="30" t="n"/>
    </row>
    <row r="2" ht="15" customHeight="1" s="22">
      <c r="A2" s="30" t="n"/>
      <c r="B2" s="30" t="n"/>
      <c r="C2" s="30" t="n"/>
    </row>
    <row r="3" ht="15" customHeight="1" s="22">
      <c r="A3" s="30" t="inlineStr">
        <is>
          <t>Monthly Recurring Revenue (per customer)</t>
        </is>
      </c>
      <c r="B3" s="36">
        <f>Assumptions!B8+(Assumptions!B10*Assumptions!B11)+(Assumptions!B13*Assumptions!B14)</f>
        <v/>
      </c>
      <c r="C3" s="30" t="inlineStr">
        <is>
          <t>Avg SaaS + settlement + AI premium</t>
        </is>
      </c>
    </row>
    <row r="4" ht="15" customHeight="1" s="22">
      <c r="A4" s="30" t="inlineStr">
        <is>
          <t>Annual Customer Lifetime Value</t>
        </is>
      </c>
      <c r="B4" s="36">
        <f>B1*12*(1-Assumptions!B22)^12</f>
        <v/>
      </c>
      <c r="C4" s="30" t="inlineStr">
        <is>
          <t>MRR × 12 months accounting for churn</t>
        </is>
      </c>
    </row>
    <row r="5" ht="15" customHeight="1" s="22">
      <c r="A5" s="30" t="inlineStr">
        <is>
          <t>Estimated CAC</t>
        </is>
      </c>
      <c r="B5" s="40" t="n">
        <v>3500</v>
      </c>
      <c r="C5" s="30" t="inlineStr">
        <is>
          <t>Typical warm intro cost in APAC</t>
        </is>
      </c>
    </row>
    <row r="6" ht="15" customHeight="1" s="22">
      <c r="A6" s="30" t="inlineStr">
        <is>
          <t>LTV/CAC Ratio</t>
        </is>
      </c>
      <c r="B6" s="41">
        <f>B2/B3</f>
        <v/>
      </c>
      <c r="C6" s="30" t="inlineStr">
        <is>
          <t>Ideal: 3.0x or higher</t>
        </is>
      </c>
    </row>
    <row r="7" ht="15" customHeight="1" s="22">
      <c r="A7" s="30" t="inlineStr">
        <is>
          <t>Payback Period (months)</t>
        </is>
      </c>
      <c r="B7" s="42">
        <f>IFERROR(B3/B1,0)</f>
        <v/>
      </c>
      <c r="C7" s="30" t="inlineStr">
        <is>
          <t>Months to recover customer acquisition cost</t>
        </is>
      </c>
    </row>
    <row r="8" ht="15" customHeight="1" s="22">
      <c r="A8" s="30" t="n"/>
      <c r="B8" s="30" t="n"/>
      <c r="C8" s="30" t="n"/>
    </row>
    <row r="9" ht="15" customHeight="1" s="22">
      <c r="A9" s="30" t="inlineStr">
        <is>
          <t>Month 12 ARR</t>
        </is>
      </c>
      <c r="B9" s="36">
        <f>'12-Month Projections'!M18*12</f>
        <v/>
      </c>
      <c r="C9" s="30" t="inlineStr">
        <is>
          <t>Month 12 monthly revenue × 12</t>
        </is>
      </c>
    </row>
    <row r="10" ht="15" customHeight="1" s="22">
      <c r="A10" s="30" t="inlineStr">
        <is>
          <t>Month 12 Customer Count</t>
        </is>
      </c>
      <c r="B10" s="35">
        <f>'12-Month Projections'!M4</f>
        <v/>
      </c>
      <c r="C10" s="30" t="inlineStr">
        <is>
          <t>Ending customers in month 12</t>
        </is>
      </c>
    </row>
    <row r="11" ht="15" customHeight="1" s="22">
      <c r="A11" s="30" t="inlineStr">
        <is>
          <t>Avg ACV (Annual Contract Value)</t>
        </is>
      </c>
      <c r="B11" s="36">
        <f>IFERROR(B8/B9,0)</f>
        <v/>
      </c>
      <c r="C11" s="30" t="inlineStr">
        <is>
          <t>ARR / customer count</t>
        </is>
      </c>
    </row>
    <row r="12" ht="15" customHeight="1" s="22">
      <c r="A12" s="30" t="n"/>
      <c r="B12" s="30" t="n"/>
      <c r="C12" s="30" t="n"/>
    </row>
    <row r="13" ht="15" customHeight="1" s="22">
      <c r="A13" s="30" t="inlineStr">
        <is>
          <t>Year 1 Gross Profit</t>
        </is>
      </c>
      <c r="B13" s="36">
        <f>SUM('12-Month Projections'!B15:M15)</f>
        <v/>
      </c>
      <c r="C13" s="30" t="inlineStr">
        <is>
          <t>Sum of monthly gross profit</t>
        </is>
      </c>
    </row>
    <row r="14" ht="15" customHeight="1" s="22">
      <c r="A14" s="30" t="inlineStr">
        <is>
          <t>Runway (months at seed) [500k]</t>
        </is>
      </c>
      <c r="B14" s="42">
        <f>IFERROR(500000/AVERAGE('12-Month Projections'!B20:M20),0)</f>
        <v/>
      </c>
      <c r="C14" s="30" t="inlineStr">
        <is>
          <t>Seed funding / avg monthly OpEx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5" customWidth="1" style="22" min="1" max="1"/>
    <col width="11" customWidth="1" style="22" min="2" max="2"/>
    <col width="11" customWidth="1" style="22" min="3" max="3"/>
    <col width="11" customWidth="1" style="22" min="4" max="4"/>
    <col width="11" customWidth="1" style="22" min="5" max="5"/>
    <col width="11" customWidth="1" style="22" min="6" max="6"/>
    <col width="11" customWidth="1" style="22" min="7" max="7"/>
    <col width="11" customWidth="1" style="22" min="8" max="8"/>
    <col width="11" customWidth="1" style="22" min="9" max="9"/>
    <col width="11" customWidth="1" style="22" min="10" max="10"/>
    <col width="11" customWidth="1" style="22" min="11" max="11"/>
    <col width="11" customWidth="1" style="22" min="12" max="12"/>
    <col width="11" customWidth="1" style="22" min="13" max="13"/>
  </cols>
  <sheetData>
    <row r="1">
      <c r="A1" s="43" t="inlineStr">
        <is>
          <t>TREASURY AGENT - 12 MONTH ROADMAP &amp; MILESTONES</t>
        </is>
      </c>
    </row>
    <row r="3">
      <c r="A3" s="44" t="inlineStr">
        <is>
          <t>Initiative</t>
        </is>
      </c>
      <c r="B3" s="44" t="inlineStr">
        <is>
          <t>M1</t>
        </is>
      </c>
      <c r="C3" s="44" t="inlineStr">
        <is>
          <t>M2</t>
        </is>
      </c>
      <c r="D3" s="44" t="inlineStr">
        <is>
          <t>M3</t>
        </is>
      </c>
      <c r="E3" s="44" t="inlineStr">
        <is>
          <t>M4</t>
        </is>
      </c>
      <c r="F3" s="44" t="inlineStr">
        <is>
          <t>M5</t>
        </is>
      </c>
      <c r="G3" s="44" t="inlineStr">
        <is>
          <t>M6</t>
        </is>
      </c>
      <c r="H3" s="44" t="inlineStr">
        <is>
          <t>M7</t>
        </is>
      </c>
      <c r="I3" s="44" t="inlineStr">
        <is>
          <t>M8</t>
        </is>
      </c>
      <c r="J3" s="44" t="inlineStr">
        <is>
          <t>M9</t>
        </is>
      </c>
      <c r="K3" s="44" t="inlineStr">
        <is>
          <t>M10</t>
        </is>
      </c>
      <c r="L3" s="44" t="inlineStr">
        <is>
          <t>M11</t>
        </is>
      </c>
      <c r="M3" s="44" t="inlineStr">
        <is>
          <t>M12</t>
        </is>
      </c>
    </row>
    <row r="4">
      <c r="A4" s="45" t="inlineStr">
        <is>
          <t>MVP Build &amp; Validation</t>
        </is>
      </c>
      <c r="B4" s="46" t="inlineStr">
        <is>
          <t>●</t>
        </is>
      </c>
      <c r="C4" s="46" t="inlineStr">
        <is>
          <t>●</t>
        </is>
      </c>
    </row>
    <row r="5">
      <c r="A5" s="45" t="inlineStr">
        <is>
          <t>Market Pilot (India)</t>
        </is>
      </c>
      <c r="D5" s="46" t="inlineStr">
        <is>
          <t>●</t>
        </is>
      </c>
      <c r="E5" s="46" t="inlineStr">
        <is>
          <t>●</t>
        </is>
      </c>
      <c r="F5" s="46" t="inlineStr">
        <is>
          <t>●</t>
        </is>
      </c>
    </row>
    <row r="6">
      <c r="A6" s="45" t="inlineStr">
        <is>
          <t>Compliance &amp; Legal Setup</t>
        </is>
      </c>
      <c r="B6" s="46" t="inlineStr">
        <is>
          <t>●</t>
        </is>
      </c>
      <c r="C6" s="46" t="inlineStr">
        <is>
          <t>●</t>
        </is>
      </c>
      <c r="D6" s="46" t="inlineStr">
        <is>
          <t>●</t>
        </is>
      </c>
      <c r="E6" s="46" t="inlineStr">
        <is>
          <t>●</t>
        </is>
      </c>
      <c r="F6" s="46" t="inlineStr">
        <is>
          <t>●</t>
        </is>
      </c>
      <c r="G6" s="46" t="inlineStr">
        <is>
          <t>●</t>
        </is>
      </c>
    </row>
    <row r="7">
      <c r="A7" s="45" t="inlineStr">
        <is>
          <t>Solana Integration</t>
        </is>
      </c>
      <c r="B7" s="46" t="inlineStr">
        <is>
          <t>●</t>
        </is>
      </c>
      <c r="C7" s="46" t="inlineStr">
        <is>
          <t>●</t>
        </is>
      </c>
      <c r="D7" s="46" t="inlineStr">
        <is>
          <t>●</t>
        </is>
      </c>
      <c r="E7" s="46" t="inlineStr">
        <is>
          <t>●</t>
        </is>
      </c>
    </row>
    <row r="8">
      <c r="A8" s="45" t="inlineStr">
        <is>
          <t>AI Agent Development</t>
        </is>
      </c>
      <c r="C8" s="46" t="inlineStr">
        <is>
          <t>●</t>
        </is>
      </c>
      <c r="D8" s="46" t="inlineStr">
        <is>
          <t>●</t>
        </is>
      </c>
      <c r="E8" s="46" t="inlineStr">
        <is>
          <t>●</t>
        </is>
      </c>
      <c r="F8" s="46" t="inlineStr">
        <is>
          <t>●</t>
        </is>
      </c>
      <c r="G8" s="46" t="inlineStr">
        <is>
          <t>●</t>
        </is>
      </c>
      <c r="H8" s="46" t="inlineStr">
        <is>
          <t>●</t>
        </is>
      </c>
      <c r="I8" s="46" t="inlineStr">
        <is>
          <t>●</t>
        </is>
      </c>
    </row>
    <row r="9">
      <c r="A9" s="45" t="inlineStr">
        <is>
          <t>APAC Expansion</t>
        </is>
      </c>
      <c r="G9" s="46" t="inlineStr">
        <is>
          <t>●</t>
        </is>
      </c>
      <c r="H9" s="46" t="inlineStr">
        <is>
          <t>●</t>
        </is>
      </c>
      <c r="I9" s="46" t="inlineStr">
        <is>
          <t>●</t>
        </is>
      </c>
      <c r="J9" s="46" t="inlineStr">
        <is>
          <t>●</t>
        </is>
      </c>
    </row>
    <row r="10">
      <c r="A10" s="45" t="inlineStr">
        <is>
          <t>LatAm Preparation</t>
        </is>
      </c>
      <c r="I10" s="46" t="inlineStr">
        <is>
          <t>●</t>
        </is>
      </c>
      <c r="J10" s="46" t="inlineStr">
        <is>
          <t>●</t>
        </is>
      </c>
      <c r="K10" s="46" t="inlineStr">
        <is>
          <t>●</t>
        </is>
      </c>
      <c r="L10" s="46" t="inlineStr">
        <is>
          <t>●</t>
        </is>
      </c>
      <c r="M10" s="46" t="inlineStr">
        <is>
          <t>●</t>
        </is>
      </c>
    </row>
    <row r="11">
      <c r="A11" s="45" t="inlineStr">
        <is>
          <t>Series A Prep</t>
        </is>
      </c>
      <c r="J11" s="46" t="inlineStr">
        <is>
          <t>●</t>
        </is>
      </c>
      <c r="K11" s="46" t="inlineStr">
        <is>
          <t>●</t>
        </is>
      </c>
      <c r="L11" s="46" t="inlineStr">
        <is>
          <t>●</t>
        </is>
      </c>
      <c r="M11" s="46" t="inlineStr">
        <is>
          <t>●</t>
        </is>
      </c>
    </row>
    <row r="14">
      <c r="A14" s="47" t="inlineStr">
        <is>
          <t>KEY MILESTONES</t>
        </is>
      </c>
    </row>
    <row r="15">
      <c r="A15" s="48" t="inlineStr">
        <is>
          <t>M1-M2</t>
        </is>
      </c>
      <c r="B15" s="49" t="inlineStr">
        <is>
          <t>MVP Ready for Pilot</t>
        </is>
      </c>
    </row>
    <row r="16">
      <c r="A16" s="48" t="inlineStr">
        <is>
          <t>M3</t>
        </is>
      </c>
      <c r="B16" s="49" t="inlineStr">
        <is>
          <t>First 10 Customers Onboarded</t>
        </is>
      </c>
    </row>
    <row r="17">
      <c r="A17" s="48" t="inlineStr">
        <is>
          <t>M5</t>
        </is>
      </c>
      <c r="B17" s="49" t="inlineStr">
        <is>
          <t>India Pilot Targets 50+ Customers</t>
        </is>
      </c>
    </row>
    <row r="18">
      <c r="A18" s="48" t="inlineStr">
        <is>
          <t>M6</t>
        </is>
      </c>
      <c r="B18" s="49" t="inlineStr">
        <is>
          <t>Series A Preparation Begins</t>
        </is>
      </c>
    </row>
    <row r="19">
      <c r="A19" s="48" t="inlineStr">
        <is>
          <t>M7</t>
        </is>
      </c>
      <c r="B19" s="49" t="inlineStr">
        <is>
          <t>APAC Launch (Philippines)</t>
        </is>
      </c>
    </row>
    <row r="20">
      <c r="A20" s="48" t="inlineStr">
        <is>
          <t>M12</t>
        </is>
      </c>
      <c r="B20" s="49" t="inlineStr">
        <is>
          <t>Series A Fundraise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2026-04-14T20:48:37Z</dcterms:created>
  <dcterms:modified xmlns:dcterms="http://purl.org/dc/terms/" xmlns:xsi="http://www.w3.org/2001/XMLSchema-instance" xsi:type="dcterms:W3CDTF">2026-04-14T20:51:05Z</dcterms:modified>
  <cp:revision>0</cp:revision>
</cp:coreProperties>
</file>